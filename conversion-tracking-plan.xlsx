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nversion List" sheetId="2" state="visible" r:id="rId4"/>
    <sheet name="Event Definitions" sheetId="3" state="visible" r:id="rId5"/>
    <sheet name="Tracking Plan" sheetId="4" state="visible" r:id="rId6"/>
    <sheet name="Conversion Priorities" sheetId="5" state="visible" r:id="rId7"/>
    <sheet name="KPI Targets" sheetId="6" state="visible" r:id="rId8"/>
    <sheet name="QA 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<sst xmlns="http://schemas.openxmlformats.org/spreadsheetml/2006/main" count="444" uniqueCount="294">
  <si>
    <t xml:space="preserve">Conversion Tracking Plan - LeafLoop Tea Co.</t>
  </si>
  <si>
    <t xml:space="preserve">Business</t>
  </si>
  <si>
    <t xml:space="preserve">A fictional direct-to-consumer (D2C) online tea store based in Hyderabad. It sells packaged teas and gift boxes to consumers, and takes bulk / corporate-gifting orders through an enquiry form.</t>
  </si>
  <si>
    <t xml:space="preserve">Goals</t>
  </si>
  <si>
    <t xml:space="preserve">Increase online revenue from tea orders; Generate bulk and corporate-gifting leads; Grow a repeat-customer base (accounts + newsletter)</t>
  </si>
  <si>
    <t xml:space="preserve">Tools</t>
  </si>
  <si>
    <t xml:space="preserve">Google Analytics 4 (measurement), Google Tag Manager (tag deployment), Google Sheets (this plan)</t>
  </si>
  <si>
    <t xml:space="preserve">Prepared by</t>
  </si>
  <si>
    <t xml:space="preserve">Reddi Malli Nandini - Digital Marketing Track</t>
  </si>
  <si>
    <t xml:space="preserve">Naming rule</t>
  </si>
  <si>
    <t xml:space="preserve">All event names in snake_case, under 40 characters, GA4 recommended names used wherever one exists</t>
  </si>
  <si>
    <t xml:space="preserve">Legend</t>
  </si>
  <si>
    <t xml:space="preserve">Green rows</t>
  </si>
  <si>
    <t xml:space="preserve">Primary conversions (marked as Key events in GA4)</t>
  </si>
  <si>
    <t xml:space="preserve">Orange rows</t>
  </si>
  <si>
    <t xml:space="preserve">Micro-conversions (tracked, not counted as conversions)</t>
  </si>
  <si>
    <t xml:space="preserve">Blue text + yellow fill</t>
  </si>
  <si>
    <t xml:space="preserve">Inputs you can edit (KPI Targets tab). Black cells are formulas.</t>
  </si>
  <si>
    <t xml:space="preserve">Tabs</t>
  </si>
  <si>
    <t xml:space="preserve">Conversion List &gt; Event Definitions &gt; Tracking Plan &gt; Conversion Priorities &gt; KPI Targets &gt; QA Checklist</t>
  </si>
  <si>
    <t xml:space="preserve">Conversion List</t>
  </si>
  <si>
    <t xml:space="preserve">ID</t>
  </si>
  <si>
    <t xml:space="preserve">Conversion</t>
  </si>
  <si>
    <t xml:space="preserve">GA4 event name</t>
  </si>
  <si>
    <t xml:space="preserve">Type</t>
  </si>
  <si>
    <t xml:space="preserve">What counts</t>
  </si>
  <si>
    <t xml:space="preserve">Where it happens</t>
  </si>
  <si>
    <t xml:space="preserve">GA4 Key event?</t>
  </si>
  <si>
    <t xml:space="preserve">C1</t>
  </si>
  <si>
    <t xml:space="preserve">Online purchase</t>
  </si>
  <si>
    <t xml:space="preserve">purchase</t>
  </si>
  <si>
    <t xml:space="preserve">Primary</t>
  </si>
  <si>
    <t xml:space="preserve">Customer completes payment for an order</t>
  </si>
  <si>
    <t xml:space="preserve">Order confirmation page (/order-success)</t>
  </si>
  <si>
    <t xml:space="preserve">Yes</t>
  </si>
  <si>
    <t xml:space="preserve">C2</t>
  </si>
  <si>
    <t xml:space="preserve">Corporate / bulk enquiry</t>
  </si>
  <si>
    <t xml:space="preserve">generate_lead</t>
  </si>
  <si>
    <t xml:space="preserve">Visitor submits the corporate-gifting enquiry form successfully</t>
  </si>
  <si>
    <t xml:space="preserve">/corporate-gifting form</t>
  </si>
  <si>
    <t xml:space="preserve">C3</t>
  </si>
  <si>
    <t xml:space="preserve">Account sign-up</t>
  </si>
  <si>
    <t xml:space="preserve">sign_up</t>
  </si>
  <si>
    <t xml:space="preserve">Visitor creates a customer account</t>
  </si>
  <si>
    <t xml:space="preserve">/signup and checkout page</t>
  </si>
  <si>
    <t xml:space="preserve">M1</t>
  </si>
  <si>
    <t xml:space="preserve">Begin checkout</t>
  </si>
  <si>
    <t xml:space="preserve">begin_checkout</t>
  </si>
  <si>
    <t xml:space="preserve">Micro</t>
  </si>
  <si>
    <t xml:space="preserve">Visitor clicks 'Checkout' from the cart</t>
  </si>
  <si>
    <t xml:space="preserve">/cart -&gt; /checkout</t>
  </si>
  <si>
    <t xml:space="preserve">No</t>
  </si>
  <si>
    <t xml:space="preserve">M2</t>
  </si>
  <si>
    <t xml:space="preserve">Add to cart</t>
  </si>
  <si>
    <t xml:space="preserve">add_to_cart</t>
  </si>
  <si>
    <t xml:space="preserve">Visitor adds a product to the cart</t>
  </si>
  <si>
    <t xml:space="preserve">Product pages, collection pages</t>
  </si>
  <si>
    <t xml:space="preserve">M3</t>
  </si>
  <si>
    <t xml:space="preserve">Add shipping info</t>
  </si>
  <si>
    <t xml:space="preserve">add_shipping_info</t>
  </si>
  <si>
    <t xml:space="preserve">Visitor submits delivery address step</t>
  </si>
  <si>
    <t xml:space="preserve">/checkout (step 1)</t>
  </si>
  <si>
    <t xml:space="preserve">M4</t>
  </si>
  <si>
    <t xml:space="preserve">Add payment info</t>
  </si>
  <si>
    <t xml:space="preserve">add_payment_info</t>
  </si>
  <si>
    <t xml:space="preserve">Visitor selects a payment method</t>
  </si>
  <si>
    <t xml:space="preserve">/checkout (step 2)</t>
  </si>
  <si>
    <t xml:space="preserve">M5</t>
  </si>
  <si>
    <t xml:space="preserve">Newsletter sign-up</t>
  </si>
  <si>
    <t xml:space="preserve">newsletter_signup</t>
  </si>
  <si>
    <t xml:space="preserve">Visitor subscribes to the newsletter</t>
  </si>
  <si>
    <t xml:space="preserve">Footer form, exit pop-up</t>
  </si>
  <si>
    <t xml:space="preserve">M6</t>
  </si>
  <si>
    <t xml:space="preserve">WhatsApp chat click</t>
  </si>
  <si>
    <t xml:space="preserve">whatsapp_click</t>
  </si>
  <si>
    <t xml:space="preserve">Visitor clicks the WhatsApp chat button</t>
  </si>
  <si>
    <t xml:space="preserve">Floating button on all pages</t>
  </si>
  <si>
    <t xml:space="preserve">M7</t>
  </si>
  <si>
    <t xml:space="preserve">Click to call</t>
  </si>
  <si>
    <t xml:space="preserve">click_to_call</t>
  </si>
  <si>
    <t xml:space="preserve">Visitor taps the phone number</t>
  </si>
  <si>
    <t xml:space="preserve">Header, contact page (mobile)</t>
  </si>
  <si>
    <t xml:space="preserve">M8</t>
  </si>
  <si>
    <t xml:space="preserve">View product</t>
  </si>
  <si>
    <t xml:space="preserve">view_item</t>
  </si>
  <si>
    <t xml:space="preserve">Visitor views a product detail page</t>
  </si>
  <si>
    <t xml:space="preserve">/product/*</t>
  </si>
  <si>
    <t xml:space="preserve">M9</t>
  </si>
  <si>
    <t xml:space="preserve">Catalog download</t>
  </si>
  <si>
    <t xml:space="preserve">file_download</t>
  </si>
  <si>
    <t xml:space="preserve">Visitor downloads the wholesale catalog PDF</t>
  </si>
  <si>
    <t xml:space="preserve">/corporate-gifting</t>
  </si>
  <si>
    <t xml:space="preserve">M10</t>
  </si>
  <si>
    <t xml:space="preserve">Site search</t>
  </si>
  <si>
    <t xml:space="preserve">search</t>
  </si>
  <si>
    <t xml:space="preserve">Visitor uses the site search</t>
  </si>
  <si>
    <t xml:space="preserve">Header search bar</t>
  </si>
  <si>
    <t xml:space="preserve">Event Definitions</t>
  </si>
  <si>
    <t xml:space="preserve">Event name</t>
  </si>
  <si>
    <t xml:space="preserve">Fires when (trigger condition)</t>
  </si>
  <si>
    <t xml:space="preserve">Parameters</t>
  </si>
  <si>
    <t xml:space="preserve">Example values</t>
  </si>
  <si>
    <t xml:space="preserve">Implementation</t>
  </si>
  <si>
    <t xml:space="preserve">Event category</t>
  </si>
  <si>
    <t xml:space="preserve">dataLayer push after payment gateway confirms success (fires once per order on /order-success)</t>
  </si>
  <si>
    <t xml:space="preserve">transaction_id, value, currency, tax, shipping, coupon, items[]</t>
  </si>
  <si>
    <t xml:space="preserve">ORD-10482, 1249.00, INR, 59.47, 50.00, CHAI10, [{item_id:'TEA-MAS-250', item_name:'Masala Chai 250g', price:399, quantity:2}]</t>
  </si>
  <si>
    <t xml:space="preserve">GTM: Custom Event tag</t>
  </si>
  <si>
    <t xml:space="preserve">GA4 recommended (ecommerce)</t>
  </si>
  <si>
    <t xml:space="preserve">dataLayer push only after the server returns success for the enquiry form (not on button click)</t>
  </si>
  <si>
    <t xml:space="preserve">form_name, lead_type, value, currency</t>
  </si>
  <si>
    <t xml:space="preserve">corporate_gifting, bulk_order, 500, INR</t>
  </si>
  <si>
    <t xml:space="preserve">Recommended</t>
  </si>
  <si>
    <t xml:space="preserve">dataLayer push after account is created successfully</t>
  </si>
  <si>
    <t xml:space="preserve">method</t>
  </si>
  <si>
    <t xml:space="preserve">email | google</t>
  </si>
  <si>
    <t xml:space="preserve">dataLayer push when the checkout page loads from the cart</t>
  </si>
  <si>
    <t xml:space="preserve">value, currency, coupon, items[]</t>
  </si>
  <si>
    <t xml:space="preserve">1249.00, INR, CHAI10, [items]</t>
  </si>
  <si>
    <t xml:space="preserve">dataLayer push when 'Add to cart' succeeds</t>
  </si>
  <si>
    <t xml:space="preserve">value, currency, items[]</t>
  </si>
  <si>
    <t xml:space="preserve">399.00, INR, [items]</t>
  </si>
  <si>
    <t xml:space="preserve">dataLayer push when address step is submitted</t>
  </si>
  <si>
    <t xml:space="preserve">value, currency, shipping_tier, items[]</t>
  </si>
  <si>
    <t xml:space="preserve">1249.00, INR, standard, [items]</t>
  </si>
  <si>
    <t xml:space="preserve">dataLayer push when payment method is chosen</t>
  </si>
  <si>
    <t xml:space="preserve">value, currency, payment_type, items[]</t>
  </si>
  <si>
    <t xml:space="preserve">1249.00, INR, upi, [items]</t>
  </si>
  <si>
    <t xml:space="preserve">dataLayer push after newsletter form success</t>
  </si>
  <si>
    <t xml:space="preserve">form_location</t>
  </si>
  <si>
    <t xml:space="preserve">footer | exit_popup</t>
  </si>
  <si>
    <t xml:space="preserve">Custom</t>
  </si>
  <si>
    <t xml:space="preserve">GTM Just Links trigger: Click URL contains 'wa.me'</t>
  </si>
  <si>
    <t xml:space="preserve">link_url, page_location</t>
  </si>
  <si>
    <t xml:space="preserve">https://wa.me/91XXXXXXXXXX, /product/masala-chai</t>
  </si>
  <si>
    <t xml:space="preserve">GTM: Link Click trigger</t>
  </si>
  <si>
    <t xml:space="preserve">GTM Just Links trigger: Click URL starts with 'tel:'</t>
  </si>
  <si>
    <t xml:space="preserve">link_url</t>
  </si>
  <si>
    <t xml:space="preserve">tel:+91XXXXXXXXXX</t>
  </si>
  <si>
    <t xml:space="preserve">dataLayer push on product page load</t>
  </si>
  <si>
    <t xml:space="preserve">Automatic - GA4 Enhanced Measurement detects .pdf link clicks</t>
  </si>
  <si>
    <t xml:space="preserve">file_name, file_extension, link_url</t>
  </si>
  <si>
    <t xml:space="preserve">leafloop-wholesale-catalog, pdf, /files/catalog.pdf</t>
  </si>
  <si>
    <t xml:space="preserve">GA4 Enhanced Measurement (no tag needed)</t>
  </si>
  <si>
    <t xml:space="preserve">Automatic</t>
  </si>
  <si>
    <t xml:space="preserve">Automatic - GA4 Enhanced Measurement reads ?q= from search URL</t>
  </si>
  <si>
    <t xml:space="preserve">search_term</t>
  </si>
  <si>
    <t xml:space="preserve">darjeeling green tea</t>
  </si>
  <si>
    <t xml:space="preserve">Tracking Plan (GTM setup)</t>
  </si>
  <si>
    <t xml:space="preserve">GTM tag name</t>
  </si>
  <si>
    <t xml:space="preserve">Tag type</t>
  </si>
  <si>
    <t xml:space="preserve">GTM trigger name</t>
  </si>
  <si>
    <t xml:space="preserve">Trigger condition</t>
  </si>
  <si>
    <t xml:space="preserve">Variables / data</t>
  </si>
  <si>
    <t xml:space="preserve">Key event?</t>
  </si>
  <si>
    <t xml:space="preserve">Notes</t>
  </si>
  <si>
    <t xml:space="preserve">GA4 - Config (Google tag)</t>
  </si>
  <si>
    <t xml:space="preserve">Google Tag</t>
  </si>
  <si>
    <t xml:space="preserve">All Pages</t>
  </si>
  <si>
    <t xml:space="preserve">Page View - all pages</t>
  </si>
  <si>
    <t xml:space="preserve">{{GA4 Measurement ID}}</t>
  </si>
  <si>
    <t xml:space="preserve">-</t>
  </si>
  <si>
    <t xml:space="preserve">Base tag. Loads GA4 on every page.</t>
  </si>
  <si>
    <t xml:space="preserve">GA4 - Event - purchase</t>
  </si>
  <si>
    <t xml:space="preserve">GA4 Event</t>
  </si>
  <si>
    <t xml:space="preserve">CE - purchase</t>
  </si>
  <si>
    <t xml:space="preserve">Custom Event: event equals purchase</t>
  </si>
  <si>
    <t xml:space="preserve">Ecommerce data from dataLayer</t>
  </si>
  <si>
    <t xml:space="preserve">Tick 'Send Ecommerce data'. Dedupe on transaction_id.</t>
  </si>
  <si>
    <t xml:space="preserve">GA4 - Event - generate_lead</t>
  </si>
  <si>
    <t xml:space="preserve">CE - generate_lead</t>
  </si>
  <si>
    <t xml:space="preserve">Custom Event: event equals generate_lead</t>
  </si>
  <si>
    <t xml:space="preserve">{{DLV - form_name}}, {{DLV - lead_type}}, {{DLV - value}}</t>
  </si>
  <si>
    <t xml:space="preserve">Fire on server success only.</t>
  </si>
  <si>
    <t xml:space="preserve">GA4 - Event - sign_up</t>
  </si>
  <si>
    <t xml:space="preserve">CE - sign_up</t>
  </si>
  <si>
    <t xml:space="preserve">Custom Event: event equals sign_up</t>
  </si>
  <si>
    <t xml:space="preserve">{{DLV - method}}</t>
  </si>
  <si>
    <t xml:space="preserve">GA4 - Event - begin_checkout</t>
  </si>
  <si>
    <t xml:space="preserve">CE - begin_checkout</t>
  </si>
  <si>
    <t xml:space="preserve">Custom Event: event equals begin_checkout</t>
  </si>
  <si>
    <t xml:space="preserve">Funnel step 3</t>
  </si>
  <si>
    <t xml:space="preserve">GA4 - Event - add_to_cart</t>
  </si>
  <si>
    <t xml:space="preserve">CE - add_to_cart</t>
  </si>
  <si>
    <t xml:space="preserve">Custom Event: event equals add_to_cart</t>
  </si>
  <si>
    <t xml:space="preserve">Funnel step 2</t>
  </si>
  <si>
    <t xml:space="preserve">GA4 - Event - add_shipping_info</t>
  </si>
  <si>
    <t xml:space="preserve">CE - add_shipping_info</t>
  </si>
  <si>
    <t xml:space="preserve">Custom Event: event equals add_shipping_info</t>
  </si>
  <si>
    <t xml:space="preserve">Funnel step 4</t>
  </si>
  <si>
    <t xml:space="preserve">GA4 - Event - add_payment_info</t>
  </si>
  <si>
    <t xml:space="preserve">CE - add_payment_info</t>
  </si>
  <si>
    <t xml:space="preserve">Custom Event: event equals add_payment_info</t>
  </si>
  <si>
    <t xml:space="preserve">Funnel step 5</t>
  </si>
  <si>
    <t xml:space="preserve">GA4 - Event - view_item</t>
  </si>
  <si>
    <t xml:space="preserve">CE - view_item</t>
  </si>
  <si>
    <t xml:space="preserve">Custom Event: event equals view_item</t>
  </si>
  <si>
    <t xml:space="preserve">Funnel step 1</t>
  </si>
  <si>
    <t xml:space="preserve">GA4 - Event - newsletter_signup</t>
  </si>
  <si>
    <t xml:space="preserve">CE - newsletter_signup</t>
  </si>
  <si>
    <t xml:space="preserve">Custom Event: event equals newsletter_signup</t>
  </si>
  <si>
    <t xml:space="preserve">{{DLV - form_location}}</t>
  </si>
  <si>
    <t xml:space="preserve">Register form_location as custom dimension</t>
  </si>
  <si>
    <t xml:space="preserve">GA4 - Event - whatsapp_click</t>
  </si>
  <si>
    <t xml:space="preserve">LC - WhatsApp</t>
  </si>
  <si>
    <t xml:space="preserve">Just Links: Click URL contains wa.me</t>
  </si>
  <si>
    <t xml:space="preserve">{{Click URL}}</t>
  </si>
  <si>
    <t xml:space="preserve">Enable built-in Click variables</t>
  </si>
  <si>
    <t xml:space="preserve">GA4 - Event - click_to_call</t>
  </si>
  <si>
    <t xml:space="preserve">LC - Phone</t>
  </si>
  <si>
    <t xml:space="preserve">Just Links: Click URL starts with tel:</t>
  </si>
  <si>
    <t xml:space="preserve">Mostly mobile traffic</t>
  </si>
  <si>
    <t xml:space="preserve">(none - automatic)</t>
  </si>
  <si>
    <t xml:space="preserve">GA4 Enhanced Measurement</t>
  </si>
  <si>
    <t xml:space="preserve">GA4 Admin &gt; Data streams &gt; Enhanced measurement ON</t>
  </si>
  <si>
    <t xml:space="preserve">Covers file_download, search, scroll, outbound clicks</t>
  </si>
  <si>
    <t xml:space="preserve">Conversion Priorities</t>
  </si>
  <si>
    <t xml:space="preserve">Rank</t>
  </si>
  <si>
    <t xml:space="preserve">Event</t>
  </si>
  <si>
    <t xml:space="preserve">Tier</t>
  </si>
  <si>
    <t xml:space="preserve">Why it matters</t>
  </si>
  <si>
    <t xml:space="preserve">Value used</t>
  </si>
  <si>
    <t xml:space="preserve">Import to Google Ads?</t>
  </si>
  <si>
    <t xml:space="preserve">Tier 1 - Primary (revenue)</t>
  </si>
  <si>
    <t xml:space="preserve">Direct revenue. Main KPI for ROAS and Google Ads bidding.</t>
  </si>
  <si>
    <t xml:space="preserve">Actual order value</t>
  </si>
  <si>
    <t xml:space="preserve">Yes - primary</t>
  </si>
  <si>
    <t xml:space="preserve">Tier 1 - Primary (lead)</t>
  </si>
  <si>
    <t xml:space="preserve">A single corporate order can be 20-50x a normal order.</t>
  </si>
  <si>
    <t xml:space="preserve">500 INR (estimated)</t>
  </si>
  <si>
    <t xml:space="preserve">Tier 2 - Secondary</t>
  </si>
  <si>
    <t xml:space="preserve">Accounts drive repeat purchases and remarketing lists.</t>
  </si>
  <si>
    <t xml:space="preserve">No value</t>
  </si>
  <si>
    <t xml:space="preserve">Yes - secondary (observe only)</t>
  </si>
  <si>
    <t xml:space="preserve">Tier 3 - High-intent micro</t>
  </si>
  <si>
    <t xml:space="preserve">Strongest sign of buying intent; used to find checkout drop-off.</t>
  </si>
  <si>
    <t xml:space="preserve">Shows product interest; base for cart-abandonment remarketing.</t>
  </si>
  <si>
    <t xml:space="preserve">Shows payment step friction (UPI / card / COD).</t>
  </si>
  <si>
    <t xml:space="preserve">Shows address-step drop-off (e.g. shipping cost shock).</t>
  </si>
  <si>
    <t xml:space="preserve">Tier 4 - Engagement micro</t>
  </si>
  <si>
    <t xml:space="preserve">Common way Indian shoppers ask questions before buying.</t>
  </si>
  <si>
    <t xml:space="preserve">Builds an owned email audience.</t>
  </si>
  <si>
    <t xml:space="preserve">Offline intent, mainly bulk buyers.</t>
  </si>
  <si>
    <t xml:space="preserve">Catalog download = early B2B interest.</t>
  </si>
  <si>
    <t xml:space="preserve">Tier 5 - Diagnostic</t>
  </si>
  <si>
    <t xml:space="preserve">Top-of-funnel product interest.</t>
  </si>
  <si>
    <t xml:space="preserve">Shows what customers look for (and can't find).</t>
  </si>
  <si>
    <t xml:space="preserve">KPI Targets - example monthly funnel</t>
  </si>
  <si>
    <t xml:space="preserve">Edit the blue inputs; the black outputs update automatically. Input numbers are example assumptions, not real data.</t>
  </si>
  <si>
    <t xml:space="preserve">Metric</t>
  </si>
  <si>
    <t xml:space="preserve">Value</t>
  </si>
  <si>
    <t xml:space="preserve">Note</t>
  </si>
  <si>
    <t xml:space="preserve">Monthly sessions</t>
  </si>
  <si>
    <t xml:space="preserve">Assumption: example traffic</t>
  </si>
  <si>
    <t xml:space="preserve">% sessions that view a product</t>
  </si>
  <si>
    <t xml:space="preserve">Assumption</t>
  </si>
  <si>
    <t xml:space="preserve">% product viewers who add to cart</t>
  </si>
  <si>
    <t xml:space="preserve">% carts that begin checkout</t>
  </si>
  <si>
    <t xml:space="preserve">% checkouts that purchase</t>
  </si>
  <si>
    <t xml:space="preserve">Average order value (INR)</t>
  </si>
  <si>
    <t xml:space="preserve">% sessions that submit corporate enquiry</t>
  </si>
  <si>
    <t xml:space="preserve">Outputs</t>
  </si>
  <si>
    <t xml:space="preserve">view_item (users)</t>
  </si>
  <si>
    <t xml:space="preserve">Revenue (INR)</t>
  </si>
  <si>
    <t xml:space="preserve">Session conversion rate (purchase)</t>
  </si>
  <si>
    <t xml:space="preserve">Cart-to-purchase rate</t>
  </si>
  <si>
    <t xml:space="preserve">QA / Testing Checklist</t>
  </si>
  <si>
    <t xml:space="preserve">Test step</t>
  </si>
  <si>
    <t xml:space="preserve">Expected result</t>
  </si>
  <si>
    <t xml:space="preserve">Pass? (Y/N)</t>
  </si>
  <si>
    <t xml:space="preserve">Open GTM Preview (Tag Assistant) on the site</t>
  </si>
  <si>
    <t xml:space="preserve">Tag Assistant connects and shows 'Container Loaded'</t>
  </si>
  <si>
    <t xml:space="preserve">Load any page</t>
  </si>
  <si>
    <t xml:space="preserve">'GA4 - Config' fires on Page View</t>
  </si>
  <si>
    <t xml:space="preserve">View a product</t>
  </si>
  <si>
    <t xml:space="preserve">view_item fires with items[] filled</t>
  </si>
  <si>
    <t xml:space="preserve">Add a product to cart</t>
  </si>
  <si>
    <t xml:space="preserve">add_to_cart fires once with value + currency</t>
  </si>
  <si>
    <t xml:space="preserve">Go to checkout and complete steps</t>
  </si>
  <si>
    <t xml:space="preserve">begin_checkout, add_shipping_info, add_payment_info fire in order</t>
  </si>
  <si>
    <t xml:space="preserve">Complete a test order</t>
  </si>
  <si>
    <t xml:space="preserve">purchase fires ONCE with a transaction_id; refresh page does not fire it again</t>
  </si>
  <si>
    <t xml:space="preserve">Submit corporate form with valid data</t>
  </si>
  <si>
    <t xml:space="preserve">generate_lead fires only after success message</t>
  </si>
  <si>
    <t xml:space="preserve">Submit corporate form with an error</t>
  </si>
  <si>
    <t xml:space="preserve">generate_lead does NOT fire</t>
  </si>
  <si>
    <t xml:space="preserve">Click WhatsApp and phone links</t>
  </si>
  <si>
    <t xml:space="preserve">whatsapp_click and click_to_call fire with link_url</t>
  </si>
  <si>
    <t xml:space="preserve">Check GA4 &gt; Admin &gt; DebugView</t>
  </si>
  <si>
    <t xml:space="preserve">All events appear with correct parameters</t>
  </si>
  <si>
    <t xml:space="preserve">Mark key events in GA4</t>
  </si>
  <si>
    <t xml:space="preserve">purchase, generate_lead, sign_up toggled as Key events</t>
  </si>
  <si>
    <t xml:space="preserve">Register custom dimensions</t>
  </si>
  <si>
    <t xml:space="preserve">form_name, lead_type, form_location, method registered (event scope)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</si>
</sst>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F4EA"/>
        <bgColor rgb="FFFFF7E6"/>
      </patternFill>
    </fill>
    <fill>
      <patternFill patternType="solid">
        <fgColor rgb="FFFFF7E6"/>
        <bgColor rgb="FFFFFFFF"/>
      </patternFill>
    </fill>
    <fill>
      <patternFill patternType="solid">
        <fgColor rgb="FF1F2A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E2"/>
      </left>
      <right style="thin">
        <color rgb="FFD0D5E2"/>
      </right>
      <top style="thin">
        <color rgb="FFD0D5E2"/>
      </top>
      <bottom style="thin">
        <color rgb="FFD0D5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E6F4EA"/>
      <rgbColor rgb="FF660066"/>
      <rgbColor rgb="FFFF8080"/>
      <rgbColor rgb="FF0066CC"/>
      <rgbColor rgb="FFD0D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11</v>
      </c>
      <c r="B9" s="3"/>
    </row>
    <row r="10" customFormat="false" ht="15" hidden="false" customHeight="false" outlineLevel="0" collapsed="false">
      <c r="A10" s="4" t="s">
        <v>12</v>
      </c>
      <c r="B10" s="3" t="s">
        <v>13</v>
      </c>
    </row>
    <row r="11" customFormat="false" ht="15" hidden="false" customHeight="false" outlineLevel="0" collapsed="false">
      <c r="A11" s="5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/>
      <c r="B13" s="3"/>
    </row>
    <row r="14" customFormat="false" ht="15" hidden="false" customHeight="false" outlineLevel="0" collapsed="false">
      <c r="A14" s="2" t="s">
        <v>18</v>
      </c>
      <c r="B1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6" t="s">
        <v>20</v>
      </c>
    </row>
    <row r="3" customFormat="false" ht="23.85" hidden="false" customHeight="fals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</row>
    <row r="5" customFormat="false" ht="23.85" hidden="false" customHeight="false" outlineLevel="0" collapsed="false">
      <c r="A5" s="8" t="s">
        <v>35</v>
      </c>
      <c r="B5" s="8" t="s">
        <v>36</v>
      </c>
      <c r="C5" s="8" t="s">
        <v>37</v>
      </c>
      <c r="D5" s="8" t="s">
        <v>31</v>
      </c>
      <c r="E5" s="8" t="s">
        <v>38</v>
      </c>
      <c r="F5" s="8" t="s">
        <v>39</v>
      </c>
      <c r="G5" s="8" t="s">
        <v>34</v>
      </c>
    </row>
    <row r="6" customFormat="false" ht="15" hidden="false" customHeight="false" outlineLevel="0" collapsed="false">
      <c r="A6" s="8" t="s">
        <v>40</v>
      </c>
      <c r="B6" s="8" t="s">
        <v>41</v>
      </c>
      <c r="C6" s="8" t="s">
        <v>42</v>
      </c>
      <c r="D6" s="8" t="s">
        <v>31</v>
      </c>
      <c r="E6" s="8" t="s">
        <v>43</v>
      </c>
      <c r="F6" s="8" t="s">
        <v>44</v>
      </c>
      <c r="G6" s="8" t="s">
        <v>34</v>
      </c>
    </row>
    <row r="7" customFormat="false" ht="15" hidden="false" customHeight="false" outlineLevel="0" collapsed="false">
      <c r="A7" s="9" t="s">
        <v>45</v>
      </c>
      <c r="B7" s="9" t="s">
        <v>46</v>
      </c>
      <c r="C7" s="9" t="s">
        <v>47</v>
      </c>
      <c r="D7" s="9" t="s">
        <v>48</v>
      </c>
      <c r="E7" s="9" t="s">
        <v>49</v>
      </c>
      <c r="F7" s="9" t="s">
        <v>50</v>
      </c>
      <c r="G7" s="9" t="s">
        <v>51</v>
      </c>
    </row>
    <row r="8" customFormat="false" ht="15" hidden="false" customHeight="false" outlineLevel="0" collapsed="false">
      <c r="A8" s="9" t="s">
        <v>52</v>
      </c>
      <c r="B8" s="9" t="s">
        <v>53</v>
      </c>
      <c r="C8" s="9" t="s">
        <v>54</v>
      </c>
      <c r="D8" s="9" t="s">
        <v>48</v>
      </c>
      <c r="E8" s="9" t="s">
        <v>55</v>
      </c>
      <c r="F8" s="9" t="s">
        <v>56</v>
      </c>
      <c r="G8" s="9" t="s">
        <v>51</v>
      </c>
    </row>
    <row r="9" customFormat="false" ht="15" hidden="false" customHeight="false" outlineLevel="0" collapsed="false">
      <c r="A9" s="9" t="s">
        <v>57</v>
      </c>
      <c r="B9" s="9" t="s">
        <v>58</v>
      </c>
      <c r="C9" s="9" t="s">
        <v>59</v>
      </c>
      <c r="D9" s="9" t="s">
        <v>48</v>
      </c>
      <c r="E9" s="9" t="s">
        <v>60</v>
      </c>
      <c r="F9" s="9" t="s">
        <v>61</v>
      </c>
      <c r="G9" s="9" t="s">
        <v>51</v>
      </c>
    </row>
    <row r="10" customFormat="false" ht="15" hidden="false" customHeight="false" outlineLevel="0" collapsed="false">
      <c r="A10" s="9" t="s">
        <v>62</v>
      </c>
      <c r="B10" s="9" t="s">
        <v>63</v>
      </c>
      <c r="C10" s="9" t="s">
        <v>64</v>
      </c>
      <c r="D10" s="9" t="s">
        <v>48</v>
      </c>
      <c r="E10" s="9" t="s">
        <v>65</v>
      </c>
      <c r="F10" s="9" t="s">
        <v>66</v>
      </c>
      <c r="G10" s="9" t="s">
        <v>51</v>
      </c>
    </row>
    <row r="11" customFormat="false" ht="15" hidden="false" customHeight="false" outlineLevel="0" collapsed="false">
      <c r="A11" s="9" t="s">
        <v>67</v>
      </c>
      <c r="B11" s="9" t="s">
        <v>68</v>
      </c>
      <c r="C11" s="9" t="s">
        <v>69</v>
      </c>
      <c r="D11" s="9" t="s">
        <v>48</v>
      </c>
      <c r="E11" s="9" t="s">
        <v>70</v>
      </c>
      <c r="F11" s="9" t="s">
        <v>71</v>
      </c>
      <c r="G11" s="9" t="s">
        <v>51</v>
      </c>
    </row>
    <row r="12" customFormat="false" ht="15" hidden="false" customHeight="false" outlineLevel="0" collapsed="false">
      <c r="A12" s="9" t="s">
        <v>72</v>
      </c>
      <c r="B12" s="9" t="s">
        <v>73</v>
      </c>
      <c r="C12" s="9" t="s">
        <v>74</v>
      </c>
      <c r="D12" s="9" t="s">
        <v>48</v>
      </c>
      <c r="E12" s="9" t="s">
        <v>75</v>
      </c>
      <c r="F12" s="9" t="s">
        <v>76</v>
      </c>
      <c r="G12" s="9" t="s">
        <v>51</v>
      </c>
    </row>
    <row r="13" customFormat="false" ht="15" hidden="false" customHeight="false" outlineLevel="0" collapsed="false">
      <c r="A13" s="9" t="s">
        <v>77</v>
      </c>
      <c r="B13" s="9" t="s">
        <v>78</v>
      </c>
      <c r="C13" s="9" t="s">
        <v>79</v>
      </c>
      <c r="D13" s="9" t="s">
        <v>48</v>
      </c>
      <c r="E13" s="9" t="s">
        <v>80</v>
      </c>
      <c r="F13" s="9" t="s">
        <v>81</v>
      </c>
      <c r="G13" s="9" t="s">
        <v>51</v>
      </c>
    </row>
    <row r="14" customFormat="false" ht="15" hidden="false" customHeight="false" outlineLevel="0" collapsed="false">
      <c r="A14" s="9" t="s">
        <v>82</v>
      </c>
      <c r="B14" s="9" t="s">
        <v>83</v>
      </c>
      <c r="C14" s="9" t="s">
        <v>84</v>
      </c>
      <c r="D14" s="9" t="s">
        <v>48</v>
      </c>
      <c r="E14" s="9" t="s">
        <v>85</v>
      </c>
      <c r="F14" s="9" t="s">
        <v>86</v>
      </c>
      <c r="G14" s="9" t="s">
        <v>51</v>
      </c>
    </row>
    <row r="15" customFormat="false" ht="15" hidden="false" customHeight="false" outlineLevel="0" collapsed="false">
      <c r="A15" s="9" t="s">
        <v>87</v>
      </c>
      <c r="B15" s="9" t="s">
        <v>88</v>
      </c>
      <c r="C15" s="9" t="s">
        <v>89</v>
      </c>
      <c r="D15" s="9" t="s">
        <v>48</v>
      </c>
      <c r="E15" s="9" t="s">
        <v>90</v>
      </c>
      <c r="F15" s="9" t="s">
        <v>91</v>
      </c>
      <c r="G15" s="9" t="s">
        <v>51</v>
      </c>
    </row>
    <row r="16" customFormat="false" ht="15" hidden="false" customHeight="false" outlineLevel="0" collapsed="false">
      <c r="A16" s="9" t="s">
        <v>92</v>
      </c>
      <c r="B16" s="9" t="s">
        <v>93</v>
      </c>
      <c r="C16" s="9" t="s">
        <v>94</v>
      </c>
      <c r="D16" s="9" t="s">
        <v>48</v>
      </c>
      <c r="E16" s="9" t="s">
        <v>95</v>
      </c>
      <c r="F16" s="9" t="s">
        <v>96</v>
      </c>
      <c r="G16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6" t="s">
        <v>97</v>
      </c>
    </row>
    <row r="3" customFormat="false" ht="15" hidden="false" customHeight="false" outlineLevel="0" collapsed="false">
      <c r="A3" s="7" t="s">
        <v>98</v>
      </c>
      <c r="B3" s="7" t="s">
        <v>99</v>
      </c>
      <c r="C3" s="7" t="s">
        <v>100</v>
      </c>
      <c r="D3" s="7" t="s">
        <v>101</v>
      </c>
      <c r="E3" s="7" t="s">
        <v>102</v>
      </c>
      <c r="F3" s="7" t="s">
        <v>103</v>
      </c>
    </row>
    <row r="4" customFormat="false" ht="35.05" hidden="false" customHeight="false" outlineLevel="0" collapsed="false">
      <c r="A4" s="10" t="s">
        <v>30</v>
      </c>
      <c r="B4" s="10" t="s">
        <v>104</v>
      </c>
      <c r="C4" s="10" t="s">
        <v>105</v>
      </c>
      <c r="D4" s="10" t="s">
        <v>106</v>
      </c>
      <c r="E4" s="10" t="s">
        <v>107</v>
      </c>
      <c r="F4" s="10" t="s">
        <v>108</v>
      </c>
    </row>
    <row r="5" customFormat="false" ht="23.85" hidden="false" customHeight="false" outlineLevel="0" collapsed="false">
      <c r="A5" s="10" t="s">
        <v>37</v>
      </c>
      <c r="B5" s="10" t="s">
        <v>109</v>
      </c>
      <c r="C5" s="10" t="s">
        <v>110</v>
      </c>
      <c r="D5" s="10" t="s">
        <v>111</v>
      </c>
      <c r="E5" s="10" t="s">
        <v>107</v>
      </c>
      <c r="F5" s="10" t="s">
        <v>112</v>
      </c>
    </row>
    <row r="6" customFormat="false" ht="15" hidden="false" customHeight="false" outlineLevel="0" collapsed="false">
      <c r="A6" s="10" t="s">
        <v>42</v>
      </c>
      <c r="B6" s="10" t="s">
        <v>113</v>
      </c>
      <c r="C6" s="10" t="s">
        <v>114</v>
      </c>
      <c r="D6" s="10" t="s">
        <v>115</v>
      </c>
      <c r="E6" s="10" t="s">
        <v>107</v>
      </c>
      <c r="F6" s="10" t="s">
        <v>112</v>
      </c>
    </row>
    <row r="7" customFormat="false" ht="23.85" hidden="false" customHeight="false" outlineLevel="0" collapsed="false">
      <c r="A7" s="10" t="s">
        <v>47</v>
      </c>
      <c r="B7" s="10" t="s">
        <v>116</v>
      </c>
      <c r="C7" s="10" t="s">
        <v>117</v>
      </c>
      <c r="D7" s="10" t="s">
        <v>118</v>
      </c>
      <c r="E7" s="10" t="s">
        <v>107</v>
      </c>
      <c r="F7" s="10" t="s">
        <v>108</v>
      </c>
    </row>
    <row r="8" customFormat="false" ht="23.85" hidden="false" customHeight="false" outlineLevel="0" collapsed="false">
      <c r="A8" s="10" t="s">
        <v>54</v>
      </c>
      <c r="B8" s="10" t="s">
        <v>119</v>
      </c>
      <c r="C8" s="10" t="s">
        <v>120</v>
      </c>
      <c r="D8" s="10" t="s">
        <v>121</v>
      </c>
      <c r="E8" s="10" t="s">
        <v>107</v>
      </c>
      <c r="F8" s="10" t="s">
        <v>108</v>
      </c>
    </row>
    <row r="9" customFormat="false" ht="23.85" hidden="false" customHeight="false" outlineLevel="0" collapsed="false">
      <c r="A9" s="10" t="s">
        <v>59</v>
      </c>
      <c r="B9" s="10" t="s">
        <v>122</v>
      </c>
      <c r="C9" s="10" t="s">
        <v>123</v>
      </c>
      <c r="D9" s="10" t="s">
        <v>124</v>
      </c>
      <c r="E9" s="10" t="s">
        <v>107</v>
      </c>
      <c r="F9" s="10" t="s">
        <v>108</v>
      </c>
    </row>
    <row r="10" customFormat="false" ht="23.85" hidden="false" customHeight="false" outlineLevel="0" collapsed="false">
      <c r="A10" s="10" t="s">
        <v>64</v>
      </c>
      <c r="B10" s="10" t="s">
        <v>125</v>
      </c>
      <c r="C10" s="10" t="s">
        <v>126</v>
      </c>
      <c r="D10" s="10" t="s">
        <v>127</v>
      </c>
      <c r="E10" s="10" t="s">
        <v>107</v>
      </c>
      <c r="F10" s="10" t="s">
        <v>108</v>
      </c>
    </row>
    <row r="11" customFormat="false" ht="15" hidden="false" customHeight="false" outlineLevel="0" collapsed="false">
      <c r="A11" s="10" t="s">
        <v>69</v>
      </c>
      <c r="B11" s="10" t="s">
        <v>128</v>
      </c>
      <c r="C11" s="10" t="s">
        <v>129</v>
      </c>
      <c r="D11" s="10" t="s">
        <v>130</v>
      </c>
      <c r="E11" s="10" t="s">
        <v>107</v>
      </c>
      <c r="F11" s="10" t="s">
        <v>131</v>
      </c>
    </row>
    <row r="12" customFormat="false" ht="15" hidden="false" customHeight="false" outlineLevel="0" collapsed="false">
      <c r="A12" s="10" t="s">
        <v>74</v>
      </c>
      <c r="B12" s="10" t="s">
        <v>132</v>
      </c>
      <c r="C12" s="10" t="s">
        <v>133</v>
      </c>
      <c r="D12" s="10" t="s">
        <v>134</v>
      </c>
      <c r="E12" s="10" t="s">
        <v>135</v>
      </c>
      <c r="F12" s="10" t="s">
        <v>131</v>
      </c>
    </row>
    <row r="13" customFormat="false" ht="15" hidden="false" customHeight="false" outlineLevel="0" collapsed="false">
      <c r="A13" s="10" t="s">
        <v>79</v>
      </c>
      <c r="B13" s="10" t="s">
        <v>136</v>
      </c>
      <c r="C13" s="10" t="s">
        <v>137</v>
      </c>
      <c r="D13" s="10" t="s">
        <v>138</v>
      </c>
      <c r="E13" s="10" t="s">
        <v>135</v>
      </c>
      <c r="F13" s="10" t="s">
        <v>131</v>
      </c>
    </row>
    <row r="14" customFormat="false" ht="23.85" hidden="false" customHeight="false" outlineLevel="0" collapsed="false">
      <c r="A14" s="10" t="s">
        <v>84</v>
      </c>
      <c r="B14" s="10" t="s">
        <v>139</v>
      </c>
      <c r="C14" s="10" t="s">
        <v>120</v>
      </c>
      <c r="D14" s="10" t="s">
        <v>121</v>
      </c>
      <c r="E14" s="10" t="s">
        <v>107</v>
      </c>
      <c r="F14" s="10" t="s">
        <v>108</v>
      </c>
    </row>
    <row r="15" customFormat="false" ht="23.85" hidden="false" customHeight="false" outlineLevel="0" collapsed="false">
      <c r="A15" s="10" t="s">
        <v>89</v>
      </c>
      <c r="B15" s="10" t="s">
        <v>140</v>
      </c>
      <c r="C15" s="10" t="s">
        <v>141</v>
      </c>
      <c r="D15" s="10" t="s">
        <v>142</v>
      </c>
      <c r="E15" s="10" t="s">
        <v>143</v>
      </c>
      <c r="F15" s="10" t="s">
        <v>144</v>
      </c>
    </row>
    <row r="16" customFormat="false" ht="23.85" hidden="false" customHeight="false" outlineLevel="0" collapsed="false">
      <c r="A16" s="10" t="s">
        <v>94</v>
      </c>
      <c r="B16" s="10" t="s">
        <v>145</v>
      </c>
      <c r="C16" s="10" t="s">
        <v>146</v>
      </c>
      <c r="D16" s="10" t="s">
        <v>147</v>
      </c>
      <c r="E16" s="10" t="s">
        <v>143</v>
      </c>
      <c r="F16" s="1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6" t="s">
        <v>148</v>
      </c>
    </row>
    <row r="3" customFormat="false" ht="23.85" hidden="false" customHeight="false" outlineLevel="0" collapsed="false">
      <c r="A3" s="7" t="s">
        <v>149</v>
      </c>
      <c r="B3" s="7" t="s">
        <v>150</v>
      </c>
      <c r="C3" s="7" t="s">
        <v>151</v>
      </c>
      <c r="D3" s="7" t="s">
        <v>152</v>
      </c>
      <c r="E3" s="7" t="s">
        <v>153</v>
      </c>
      <c r="F3" s="7" t="s">
        <v>154</v>
      </c>
      <c r="G3" s="7" t="s">
        <v>155</v>
      </c>
    </row>
    <row r="4" customFormat="false" ht="15" hidden="false" customHeight="false" outlineLevel="0" collapsed="false">
      <c r="A4" s="9" t="s">
        <v>156</v>
      </c>
      <c r="B4" s="9" t="s">
        <v>157</v>
      </c>
      <c r="C4" s="9" t="s">
        <v>158</v>
      </c>
      <c r="D4" s="9" t="s">
        <v>159</v>
      </c>
      <c r="E4" s="9" t="s">
        <v>160</v>
      </c>
      <c r="F4" s="9" t="s">
        <v>161</v>
      </c>
      <c r="G4" s="9" t="s">
        <v>162</v>
      </c>
    </row>
    <row r="5" customFormat="false" ht="23.85" hidden="false" customHeight="false" outlineLevel="0" collapsed="false">
      <c r="A5" s="8" t="s">
        <v>163</v>
      </c>
      <c r="B5" s="8" t="s">
        <v>164</v>
      </c>
      <c r="C5" s="8" t="s">
        <v>165</v>
      </c>
      <c r="D5" s="8" t="s">
        <v>166</v>
      </c>
      <c r="E5" s="8" t="s">
        <v>167</v>
      </c>
      <c r="F5" s="8" t="s">
        <v>34</v>
      </c>
      <c r="G5" s="8" t="s">
        <v>168</v>
      </c>
    </row>
    <row r="6" customFormat="false" ht="23.85" hidden="false" customHeight="false" outlineLevel="0" collapsed="false">
      <c r="A6" s="8" t="s">
        <v>169</v>
      </c>
      <c r="B6" s="8" t="s">
        <v>164</v>
      </c>
      <c r="C6" s="8" t="s">
        <v>170</v>
      </c>
      <c r="D6" s="8" t="s">
        <v>171</v>
      </c>
      <c r="E6" s="8" t="s">
        <v>172</v>
      </c>
      <c r="F6" s="8" t="s">
        <v>34</v>
      </c>
      <c r="G6" s="8" t="s">
        <v>173</v>
      </c>
    </row>
    <row r="7" customFormat="false" ht="15" hidden="false" customHeight="false" outlineLevel="0" collapsed="false">
      <c r="A7" s="8" t="s">
        <v>174</v>
      </c>
      <c r="B7" s="8" t="s">
        <v>164</v>
      </c>
      <c r="C7" s="8" t="s">
        <v>175</v>
      </c>
      <c r="D7" s="8" t="s">
        <v>176</v>
      </c>
      <c r="E7" s="8" t="s">
        <v>177</v>
      </c>
      <c r="F7" s="8" t="s">
        <v>34</v>
      </c>
      <c r="G7" s="8"/>
    </row>
    <row r="8" customFormat="false" ht="15" hidden="false" customHeight="false" outlineLevel="0" collapsed="false">
      <c r="A8" s="9" t="s">
        <v>178</v>
      </c>
      <c r="B8" s="9" t="s">
        <v>164</v>
      </c>
      <c r="C8" s="9" t="s">
        <v>179</v>
      </c>
      <c r="D8" s="9" t="s">
        <v>180</v>
      </c>
      <c r="E8" s="9" t="s">
        <v>167</v>
      </c>
      <c r="F8" s="9" t="s">
        <v>51</v>
      </c>
      <c r="G8" s="9" t="s">
        <v>181</v>
      </c>
    </row>
    <row r="9" customFormat="false" ht="15" hidden="false" customHeight="false" outlineLevel="0" collapsed="false">
      <c r="A9" s="9" t="s">
        <v>182</v>
      </c>
      <c r="B9" s="9" t="s">
        <v>164</v>
      </c>
      <c r="C9" s="9" t="s">
        <v>183</v>
      </c>
      <c r="D9" s="9" t="s">
        <v>184</v>
      </c>
      <c r="E9" s="9" t="s">
        <v>167</v>
      </c>
      <c r="F9" s="9" t="s">
        <v>51</v>
      </c>
      <c r="G9" s="9" t="s">
        <v>185</v>
      </c>
    </row>
    <row r="10" customFormat="false" ht="23.85" hidden="false" customHeight="false" outlineLevel="0" collapsed="false">
      <c r="A10" s="9" t="s">
        <v>186</v>
      </c>
      <c r="B10" s="9" t="s">
        <v>164</v>
      </c>
      <c r="C10" s="9" t="s">
        <v>187</v>
      </c>
      <c r="D10" s="9" t="s">
        <v>188</v>
      </c>
      <c r="E10" s="9" t="s">
        <v>167</v>
      </c>
      <c r="F10" s="9" t="s">
        <v>51</v>
      </c>
      <c r="G10" s="9" t="s">
        <v>189</v>
      </c>
    </row>
    <row r="11" customFormat="false" ht="23.85" hidden="false" customHeight="false" outlineLevel="0" collapsed="false">
      <c r="A11" s="9" t="s">
        <v>190</v>
      </c>
      <c r="B11" s="9" t="s">
        <v>164</v>
      </c>
      <c r="C11" s="9" t="s">
        <v>191</v>
      </c>
      <c r="D11" s="9" t="s">
        <v>192</v>
      </c>
      <c r="E11" s="9" t="s">
        <v>167</v>
      </c>
      <c r="F11" s="9" t="s">
        <v>51</v>
      </c>
      <c r="G11" s="9" t="s">
        <v>193</v>
      </c>
    </row>
    <row r="12" customFormat="false" ht="15" hidden="false" customHeight="false" outlineLevel="0" collapsed="false">
      <c r="A12" s="9" t="s">
        <v>194</v>
      </c>
      <c r="B12" s="9" t="s">
        <v>164</v>
      </c>
      <c r="C12" s="9" t="s">
        <v>195</v>
      </c>
      <c r="D12" s="9" t="s">
        <v>196</v>
      </c>
      <c r="E12" s="9" t="s">
        <v>167</v>
      </c>
      <c r="F12" s="9" t="s">
        <v>51</v>
      </c>
      <c r="G12" s="9" t="s">
        <v>197</v>
      </c>
    </row>
    <row r="13" customFormat="false" ht="23.85" hidden="false" customHeight="false" outlineLevel="0" collapsed="false">
      <c r="A13" s="9" t="s">
        <v>198</v>
      </c>
      <c r="B13" s="9" t="s">
        <v>164</v>
      </c>
      <c r="C13" s="9" t="s">
        <v>199</v>
      </c>
      <c r="D13" s="9" t="s">
        <v>200</v>
      </c>
      <c r="E13" s="9" t="s">
        <v>201</v>
      </c>
      <c r="F13" s="9" t="s">
        <v>51</v>
      </c>
      <c r="G13" s="9" t="s">
        <v>202</v>
      </c>
    </row>
    <row r="14" customFormat="false" ht="15" hidden="false" customHeight="false" outlineLevel="0" collapsed="false">
      <c r="A14" s="9" t="s">
        <v>203</v>
      </c>
      <c r="B14" s="9" t="s">
        <v>164</v>
      </c>
      <c r="C14" s="9" t="s">
        <v>204</v>
      </c>
      <c r="D14" s="9" t="s">
        <v>205</v>
      </c>
      <c r="E14" s="9" t="s">
        <v>206</v>
      </c>
      <c r="F14" s="9" t="s">
        <v>51</v>
      </c>
      <c r="G14" s="9" t="s">
        <v>207</v>
      </c>
    </row>
    <row r="15" customFormat="false" ht="15" hidden="false" customHeight="false" outlineLevel="0" collapsed="false">
      <c r="A15" s="9" t="s">
        <v>208</v>
      </c>
      <c r="B15" s="9" t="s">
        <v>164</v>
      </c>
      <c r="C15" s="9" t="s">
        <v>209</v>
      </c>
      <c r="D15" s="9" t="s">
        <v>210</v>
      </c>
      <c r="E15" s="9" t="s">
        <v>206</v>
      </c>
      <c r="F15" s="9" t="s">
        <v>51</v>
      </c>
      <c r="G15" s="9" t="s">
        <v>211</v>
      </c>
    </row>
    <row r="16" customFormat="false" ht="23.85" hidden="false" customHeight="false" outlineLevel="0" collapsed="false">
      <c r="A16" s="9" t="s">
        <v>212</v>
      </c>
      <c r="B16" s="9" t="s">
        <v>213</v>
      </c>
      <c r="C16" s="9" t="s">
        <v>161</v>
      </c>
      <c r="D16" s="9" t="s">
        <v>214</v>
      </c>
      <c r="E16" s="9" t="s">
        <v>161</v>
      </c>
      <c r="F16" s="9" t="s">
        <v>51</v>
      </c>
      <c r="G16" s="9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6" t="s">
        <v>216</v>
      </c>
    </row>
    <row r="3" customFormat="false" ht="23.85" hidden="false" customHeight="false" outlineLevel="0" collapsed="false">
      <c r="A3" s="7" t="s">
        <v>217</v>
      </c>
      <c r="B3" s="7" t="s">
        <v>218</v>
      </c>
      <c r="C3" s="7" t="s">
        <v>219</v>
      </c>
      <c r="D3" s="7" t="s">
        <v>220</v>
      </c>
      <c r="E3" s="7" t="s">
        <v>27</v>
      </c>
      <c r="F3" s="7" t="s">
        <v>221</v>
      </c>
      <c r="G3" s="7" t="s">
        <v>222</v>
      </c>
    </row>
    <row r="4" customFormat="false" ht="15" hidden="false" customHeight="false" outlineLevel="0" collapsed="false">
      <c r="A4" s="8" t="n">
        <v>1</v>
      </c>
      <c r="B4" s="8" t="s">
        <v>30</v>
      </c>
      <c r="C4" s="8" t="s">
        <v>223</v>
      </c>
      <c r="D4" s="8" t="s">
        <v>224</v>
      </c>
      <c r="E4" s="8" t="s">
        <v>34</v>
      </c>
      <c r="F4" s="8" t="s">
        <v>225</v>
      </c>
      <c r="G4" s="8" t="s">
        <v>226</v>
      </c>
    </row>
    <row r="5" customFormat="false" ht="15" hidden="false" customHeight="false" outlineLevel="0" collapsed="false">
      <c r="A5" s="8" t="n">
        <v>2</v>
      </c>
      <c r="B5" s="8" t="s">
        <v>37</v>
      </c>
      <c r="C5" s="8" t="s">
        <v>227</v>
      </c>
      <c r="D5" s="8" t="s">
        <v>228</v>
      </c>
      <c r="E5" s="8" t="s">
        <v>34</v>
      </c>
      <c r="F5" s="8" t="s">
        <v>229</v>
      </c>
      <c r="G5" s="8" t="s">
        <v>226</v>
      </c>
    </row>
    <row r="6" customFormat="false" ht="15" hidden="false" customHeight="false" outlineLevel="0" collapsed="false">
      <c r="A6" s="8" t="n">
        <v>3</v>
      </c>
      <c r="B6" s="8" t="s">
        <v>42</v>
      </c>
      <c r="C6" s="8" t="s">
        <v>230</v>
      </c>
      <c r="D6" s="8" t="s">
        <v>231</v>
      </c>
      <c r="E6" s="8" t="s">
        <v>34</v>
      </c>
      <c r="F6" s="8" t="s">
        <v>232</v>
      </c>
      <c r="G6" s="8" t="s">
        <v>233</v>
      </c>
    </row>
    <row r="7" customFormat="false" ht="15" hidden="false" customHeight="false" outlineLevel="0" collapsed="false">
      <c r="A7" s="9" t="n">
        <v>4</v>
      </c>
      <c r="B7" s="9" t="s">
        <v>47</v>
      </c>
      <c r="C7" s="9" t="s">
        <v>234</v>
      </c>
      <c r="D7" s="9" t="s">
        <v>235</v>
      </c>
      <c r="E7" s="9" t="s">
        <v>51</v>
      </c>
      <c r="F7" s="9" t="s">
        <v>161</v>
      </c>
      <c r="G7" s="9" t="s">
        <v>51</v>
      </c>
    </row>
    <row r="8" customFormat="false" ht="23.85" hidden="false" customHeight="false" outlineLevel="0" collapsed="false">
      <c r="A8" s="9" t="n">
        <v>5</v>
      </c>
      <c r="B8" s="9" t="s">
        <v>54</v>
      </c>
      <c r="C8" s="9" t="s">
        <v>234</v>
      </c>
      <c r="D8" s="9" t="s">
        <v>236</v>
      </c>
      <c r="E8" s="9" t="s">
        <v>51</v>
      </c>
      <c r="F8" s="9" t="s">
        <v>161</v>
      </c>
      <c r="G8" s="9" t="s">
        <v>51</v>
      </c>
    </row>
    <row r="9" customFormat="false" ht="15" hidden="false" customHeight="false" outlineLevel="0" collapsed="false">
      <c r="A9" s="9" t="n">
        <v>6</v>
      </c>
      <c r="B9" s="9" t="s">
        <v>64</v>
      </c>
      <c r="C9" s="9" t="s">
        <v>234</v>
      </c>
      <c r="D9" s="9" t="s">
        <v>237</v>
      </c>
      <c r="E9" s="9" t="s">
        <v>51</v>
      </c>
      <c r="F9" s="9" t="s">
        <v>161</v>
      </c>
      <c r="G9" s="9" t="s">
        <v>51</v>
      </c>
    </row>
    <row r="10" customFormat="false" ht="15" hidden="false" customHeight="false" outlineLevel="0" collapsed="false">
      <c r="A10" s="9" t="n">
        <v>7</v>
      </c>
      <c r="B10" s="9" t="s">
        <v>59</v>
      </c>
      <c r="C10" s="9" t="s">
        <v>234</v>
      </c>
      <c r="D10" s="9" t="s">
        <v>238</v>
      </c>
      <c r="E10" s="9" t="s">
        <v>51</v>
      </c>
      <c r="F10" s="9" t="s">
        <v>161</v>
      </c>
      <c r="G10" s="9" t="s">
        <v>51</v>
      </c>
    </row>
    <row r="11" customFormat="false" ht="15" hidden="false" customHeight="false" outlineLevel="0" collapsed="false">
      <c r="A11" s="9" t="n">
        <v>8</v>
      </c>
      <c r="B11" s="9" t="s">
        <v>74</v>
      </c>
      <c r="C11" s="9" t="s">
        <v>239</v>
      </c>
      <c r="D11" s="9" t="s">
        <v>240</v>
      </c>
      <c r="E11" s="9" t="s">
        <v>51</v>
      </c>
      <c r="F11" s="9" t="s">
        <v>161</v>
      </c>
      <c r="G11" s="9" t="s">
        <v>51</v>
      </c>
    </row>
    <row r="12" customFormat="false" ht="15" hidden="false" customHeight="false" outlineLevel="0" collapsed="false">
      <c r="A12" s="9" t="n">
        <v>9</v>
      </c>
      <c r="B12" s="9" t="s">
        <v>69</v>
      </c>
      <c r="C12" s="9" t="s">
        <v>239</v>
      </c>
      <c r="D12" s="9" t="s">
        <v>241</v>
      </c>
      <c r="E12" s="9" t="s">
        <v>51</v>
      </c>
      <c r="F12" s="9" t="s">
        <v>161</v>
      </c>
      <c r="G12" s="9" t="s">
        <v>51</v>
      </c>
    </row>
    <row r="13" customFormat="false" ht="15" hidden="false" customHeight="false" outlineLevel="0" collapsed="false">
      <c r="A13" s="9" t="n">
        <v>10</v>
      </c>
      <c r="B13" s="9" t="s">
        <v>79</v>
      </c>
      <c r="C13" s="9" t="s">
        <v>239</v>
      </c>
      <c r="D13" s="9" t="s">
        <v>242</v>
      </c>
      <c r="E13" s="9" t="s">
        <v>51</v>
      </c>
      <c r="F13" s="9" t="s">
        <v>161</v>
      </c>
      <c r="G13" s="9" t="s">
        <v>51</v>
      </c>
    </row>
    <row r="14" customFormat="false" ht="15" hidden="false" customHeight="false" outlineLevel="0" collapsed="false">
      <c r="A14" s="9" t="n">
        <v>11</v>
      </c>
      <c r="B14" s="9" t="s">
        <v>89</v>
      </c>
      <c r="C14" s="9" t="s">
        <v>239</v>
      </c>
      <c r="D14" s="9" t="s">
        <v>243</v>
      </c>
      <c r="E14" s="9" t="s">
        <v>51</v>
      </c>
      <c r="F14" s="9" t="s">
        <v>161</v>
      </c>
      <c r="G14" s="9" t="s">
        <v>51</v>
      </c>
    </row>
    <row r="15" customFormat="false" ht="15" hidden="false" customHeight="false" outlineLevel="0" collapsed="false">
      <c r="A15" s="9" t="n">
        <v>12</v>
      </c>
      <c r="B15" s="9" t="s">
        <v>84</v>
      </c>
      <c r="C15" s="9" t="s">
        <v>244</v>
      </c>
      <c r="D15" s="9" t="s">
        <v>245</v>
      </c>
      <c r="E15" s="9" t="s">
        <v>51</v>
      </c>
      <c r="F15" s="9" t="s">
        <v>161</v>
      </c>
      <c r="G15" s="9" t="s">
        <v>51</v>
      </c>
    </row>
    <row r="16" customFormat="false" ht="15" hidden="false" customHeight="false" outlineLevel="0" collapsed="false">
      <c r="A16" s="9" t="n">
        <v>13</v>
      </c>
      <c r="B16" s="9" t="s">
        <v>94</v>
      </c>
      <c r="C16" s="9" t="s">
        <v>244</v>
      </c>
      <c r="D16" s="9" t="s">
        <v>246</v>
      </c>
      <c r="E16" s="9" t="s">
        <v>51</v>
      </c>
      <c r="F16" s="9" t="s">
        <v>161</v>
      </c>
      <c r="G16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6" t="s">
        <v>247</v>
      </c>
    </row>
    <row r="2" customFormat="false" ht="15" hidden="false" customHeight="false" outlineLevel="0" collapsed="false">
      <c r="A2" s="11" t="s">
        <v>248</v>
      </c>
    </row>
    <row r="4" customFormat="false" ht="15" hidden="false" customHeight="false" outlineLevel="0" collapsed="false">
      <c r="A4" s="12" t="s">
        <v>249</v>
      </c>
      <c r="B4" s="12" t="s">
        <v>250</v>
      </c>
      <c r="C4" s="12" t="s">
        <v>251</v>
      </c>
    </row>
    <row r="5" customFormat="false" ht="15" hidden="false" customHeight="false" outlineLevel="0" collapsed="false">
      <c r="A5" s="13" t="s">
        <v>252</v>
      </c>
      <c r="B5" s="14" t="n">
        <v>20000</v>
      </c>
      <c r="C5" s="15" t="s">
        <v>253</v>
      </c>
    </row>
    <row r="6" customFormat="false" ht="15" hidden="false" customHeight="false" outlineLevel="0" collapsed="false">
      <c r="A6" s="13" t="s">
        <v>254</v>
      </c>
      <c r="B6" s="16" t="n">
        <v>0.4</v>
      </c>
      <c r="C6" s="15" t="s">
        <v>255</v>
      </c>
    </row>
    <row r="7" customFormat="false" ht="15" hidden="false" customHeight="false" outlineLevel="0" collapsed="false">
      <c r="A7" s="13" t="s">
        <v>256</v>
      </c>
      <c r="B7" s="16" t="n">
        <v>0.12</v>
      </c>
      <c r="C7" s="15" t="s">
        <v>255</v>
      </c>
    </row>
    <row r="8" customFormat="false" ht="15" hidden="false" customHeight="false" outlineLevel="0" collapsed="false">
      <c r="A8" s="13" t="s">
        <v>257</v>
      </c>
      <c r="B8" s="16" t="n">
        <v>0.5</v>
      </c>
      <c r="C8" s="15" t="s">
        <v>255</v>
      </c>
    </row>
    <row r="9" customFormat="false" ht="15" hidden="false" customHeight="false" outlineLevel="0" collapsed="false">
      <c r="A9" s="13" t="s">
        <v>258</v>
      </c>
      <c r="B9" s="16" t="n">
        <v>0.45</v>
      </c>
      <c r="C9" s="15" t="s">
        <v>255</v>
      </c>
    </row>
    <row r="10" customFormat="false" ht="15" hidden="false" customHeight="false" outlineLevel="0" collapsed="false">
      <c r="A10" s="13" t="s">
        <v>259</v>
      </c>
      <c r="B10" s="14" t="n">
        <v>950</v>
      </c>
      <c r="C10" s="15" t="s">
        <v>255</v>
      </c>
    </row>
    <row r="11" customFormat="false" ht="15" hidden="false" customHeight="false" outlineLevel="0" collapsed="false">
      <c r="A11" s="13" t="s">
        <v>260</v>
      </c>
      <c r="B11" s="16" t="n">
        <v>0.003</v>
      </c>
      <c r="C11" s="15" t="s">
        <v>255</v>
      </c>
    </row>
    <row r="13" customFormat="false" ht="15" hidden="false" customHeight="false" outlineLevel="0" collapsed="false">
      <c r="A13" s="17" t="s">
        <v>261</v>
      </c>
    </row>
    <row r="14" customFormat="false" ht="15" hidden="false" customHeight="false" outlineLevel="0" collapsed="false">
      <c r="A14" s="13" t="s">
        <v>262</v>
      </c>
      <c r="B14" s="18" t="n">
        <f aca="false">B5*B6</f>
        <v>8000</v>
      </c>
    </row>
    <row r="15" customFormat="false" ht="15" hidden="false" customHeight="false" outlineLevel="0" collapsed="false">
      <c r="A15" s="13" t="s">
        <v>54</v>
      </c>
      <c r="B15" s="18" t="n">
        <f aca="false">B14*B7</f>
        <v>960</v>
      </c>
    </row>
    <row r="16" customFormat="false" ht="15" hidden="false" customHeight="false" outlineLevel="0" collapsed="false">
      <c r="A16" s="13" t="s">
        <v>47</v>
      </c>
      <c r="B16" s="18" t="n">
        <f aca="false">B15*B8</f>
        <v>480</v>
      </c>
    </row>
    <row r="17" customFormat="false" ht="15" hidden="false" customHeight="false" outlineLevel="0" collapsed="false">
      <c r="A17" s="13" t="s">
        <v>30</v>
      </c>
      <c r="B17" s="18" t="n">
        <f aca="false">B16*B9</f>
        <v>216</v>
      </c>
    </row>
    <row r="18" customFormat="false" ht="15" hidden="false" customHeight="false" outlineLevel="0" collapsed="false">
      <c r="A18" s="13" t="s">
        <v>263</v>
      </c>
      <c r="B18" s="18" t="n">
        <f aca="false">B17*B10</f>
        <v>205200</v>
      </c>
    </row>
    <row r="19" customFormat="false" ht="15" hidden="false" customHeight="false" outlineLevel="0" collapsed="false">
      <c r="A19" s="13" t="s">
        <v>264</v>
      </c>
      <c r="B19" s="19" t="n">
        <f aca="false">IFERROR(B17/B5,0)</f>
        <v>0.0108</v>
      </c>
    </row>
    <row r="20" customFormat="false" ht="15" hidden="false" customHeight="false" outlineLevel="0" collapsed="false">
      <c r="A20" s="13" t="s">
        <v>37</v>
      </c>
      <c r="B20" s="18" t="n">
        <f aca="false">B5*B11</f>
        <v>60</v>
      </c>
    </row>
    <row r="21" customFormat="false" ht="15" hidden="false" customHeight="false" outlineLevel="0" collapsed="false">
      <c r="A21" s="13" t="s">
        <v>265</v>
      </c>
      <c r="B21" s="20" t="n">
        <f aca="false">IFERROR(B17/B15,0)</f>
        <v>0.225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7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6" t="s">
        <v>266</v>
      </c>
    </row>
    <row r="3" customFormat="false" ht="15" hidden="false" customHeight="false" outlineLevel="0" collapsed="false">
      <c r="A3" s="7" t="s">
        <v>267</v>
      </c>
      <c r="B3" s="7" t="s">
        <v>268</v>
      </c>
      <c r="C3" s="7" t="s">
        <v>269</v>
      </c>
    </row>
    <row r="4" customFormat="false" ht="15" hidden="false" customHeight="false" outlineLevel="0" collapsed="false">
      <c r="A4" s="10" t="s">
        <v>270</v>
      </c>
      <c r="B4" s="10" t="s">
        <v>271</v>
      </c>
      <c r="C4" s="10"/>
    </row>
    <row r="5" customFormat="false" ht="15" hidden="false" customHeight="false" outlineLevel="0" collapsed="false">
      <c r="A5" s="10" t="s">
        <v>272</v>
      </c>
      <c r="B5" s="10" t="s">
        <v>273</v>
      </c>
      <c r="C5" s="10"/>
    </row>
    <row r="6" customFormat="false" ht="15" hidden="false" customHeight="false" outlineLevel="0" collapsed="false">
      <c r="A6" s="10" t="s">
        <v>274</v>
      </c>
      <c r="B6" s="10" t="s">
        <v>275</v>
      </c>
      <c r="C6" s="10"/>
    </row>
    <row r="7" customFormat="false" ht="15" hidden="false" customHeight="false" outlineLevel="0" collapsed="false">
      <c r="A7" s="10" t="s">
        <v>276</v>
      </c>
      <c r="B7" s="10" t="s">
        <v>277</v>
      </c>
      <c r="C7" s="10"/>
    </row>
    <row r="8" customFormat="false" ht="15" hidden="false" customHeight="false" outlineLevel="0" collapsed="false">
      <c r="A8" s="10" t="s">
        <v>278</v>
      </c>
      <c r="B8" s="10" t="s">
        <v>279</v>
      </c>
      <c r="C8" s="10"/>
    </row>
    <row r="9" customFormat="false" ht="15" hidden="false" customHeight="false" outlineLevel="0" collapsed="false">
      <c r="A9" s="10" t="s">
        <v>280</v>
      </c>
      <c r="B9" s="10" t="s">
        <v>281</v>
      </c>
      <c r="C9" s="10"/>
    </row>
    <row r="10" customFormat="false" ht="15" hidden="false" customHeight="false" outlineLevel="0" collapsed="false">
      <c r="A10" s="10" t="s">
        <v>282</v>
      </c>
      <c r="B10" s="10" t="s">
        <v>283</v>
      </c>
      <c r="C10" s="10"/>
    </row>
    <row r="11" customFormat="false" ht="15" hidden="false" customHeight="false" outlineLevel="0" collapsed="false">
      <c r="A11" s="10" t="s">
        <v>284</v>
      </c>
      <c r="B11" s="10" t="s">
        <v>285</v>
      </c>
      <c r="C11" s="10"/>
    </row>
    <row r="12" customFormat="false" ht="15" hidden="false" customHeight="false" outlineLevel="0" collapsed="false">
      <c r="A12" s="10" t="s">
        <v>286</v>
      </c>
      <c r="B12" s="10" t="s">
        <v>287</v>
      </c>
      <c r="C12" s="10"/>
    </row>
    <row r="13" customFormat="false" ht="15" hidden="false" customHeight="false" outlineLevel="0" collapsed="false">
      <c r="A13" s="10" t="s">
        <v>288</v>
      </c>
      <c r="B13" s="10" t="s">
        <v>289</v>
      </c>
      <c r="C13" s="10"/>
    </row>
    <row r="14" customFormat="false" ht="15" hidden="false" customHeight="false" outlineLevel="0" collapsed="false">
      <c r="A14" s="10" t="s">
        <v>290</v>
      </c>
      <c r="B14" s="10" t="s">
        <v>291</v>
      </c>
      <c r="C14" s="10"/>
    </row>
    <row r="15" customFormat="false" ht="15" hidden="false" customHeight="false" outlineLevel="0" collapsed="false">
      <c r="A15" s="10" t="s">
        <v>292</v>
      </c>
      <c r="B15" s="10" t="s">
        <v>293</v>
      </c>
      <c r="C1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2026-10-27T15:09:05Z</dcterms:created>
  <dc:creator>openpyxl</dc:creator>
  <dc:description/>
  <dc:language>en-US</dc:language>
  <cp:lastModifiedBy/>
  <dcterms:modified xsi:type="dcterms:W3CDTF">2026-10-27T15:09:05Z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